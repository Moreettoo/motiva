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29-102109\Desktop\"/>
    </mc:Choice>
  </mc:AlternateContent>
  <xr:revisionPtr revIDLastSave="5" documentId="8_{4239D144-9DA0-44C5-8E4A-BAAA813FF8D1}" xr6:coauthVersionLast="47" xr6:coauthVersionMax="47" xr10:uidLastSave="{A5FC9C17-1D21-4F1A-AD67-D901C53313F9}"/>
  <bookViews>
    <workbookView xWindow="-110" yWindow="-110" windowWidth="19420" windowHeight="10300" tabRatio="605" xr2:uid="{CC4B7E4B-07FA-4A54-B42A-3432D4F83A4A}"/>
  </bookViews>
  <sheets>
    <sheet name="ROÇADA" sheetId="1" r:id="rId1"/>
  </sheets>
  <externalReferences>
    <externalReference r:id="rId2"/>
  </externalReferences>
  <definedNames>
    <definedName name="_xlnm.Print_Area" localSheetId="0">ROÇADA!$A$1:$NO$19</definedName>
    <definedName name="_xlnm.Print_Titles" localSheetId="0">ROÇADA!$1:$7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E26" i="1"/>
  <c r="D26" i="1"/>
  <c r="C26" i="1"/>
  <c r="I9" i="1"/>
  <c r="H9" i="1"/>
  <c r="G9" i="1"/>
  <c r="BJ4" i="1"/>
  <c r="BJ3" i="1"/>
  <c r="BD2" i="1"/>
  <c r="J9" i="1" l="1"/>
  <c r="K9" i="1" l="1"/>
  <c r="L9" i="1" l="1"/>
  <c r="M9" i="1" l="1"/>
  <c r="N9" i="1" l="1"/>
  <c r="O9" i="1" l="1"/>
  <c r="P9" i="1" l="1"/>
  <c r="Q9" i="1" l="1"/>
  <c r="R9" i="1" l="1"/>
  <c r="S9" i="1" l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D24" i="1"/>
  <c r="E21" i="1" l="1"/>
  <c r="E14" i="1"/>
  <c r="C24" i="1"/>
  <c r="D14" i="1"/>
  <c r="C11" i="1"/>
  <c r="D11" i="1"/>
  <c r="E10" i="1"/>
  <c r="E18" i="1"/>
  <c r="D21" i="1"/>
  <c r="C25" i="1"/>
  <c r="E24" i="1"/>
  <c r="D10" i="1"/>
  <c r="C14" i="1"/>
  <c r="D25" i="1"/>
  <c r="C10" i="1"/>
  <c r="C18" i="1"/>
  <c r="C21" i="1"/>
  <c r="D18" i="1"/>
  <c r="E11" i="1"/>
  <c r="E25" i="1"/>
</calcChain>
</file>

<file path=xl/sharedStrings.xml><?xml version="1.0" encoding="utf-8"?>
<sst xmlns="http://schemas.openxmlformats.org/spreadsheetml/2006/main" count="288" uniqueCount="44">
  <si>
    <t>FORMULÁRIO</t>
  </si>
  <si>
    <t>IDENTIFICAÇÃO</t>
  </si>
  <si>
    <r>
      <t xml:space="preserve">UNIFILAR - ROÇADA
</t>
    </r>
    <r>
      <rPr>
        <sz val="18"/>
        <color rgb="FF333333"/>
        <rFont val="Aptos"/>
        <family val="2"/>
      </rPr>
      <t>CCR RODOANEL</t>
    </r>
  </si>
  <si>
    <t>VERSÃO:</t>
  </si>
  <si>
    <t>UNIDADE:</t>
  </si>
  <si>
    <t>LEGENDA:</t>
  </si>
  <si>
    <t>h &lt; 10 cm</t>
  </si>
  <si>
    <t>10 cm &lt;= h &lt;= 30 cm</t>
  </si>
  <si>
    <t>h &gt; 30 cm</t>
  </si>
  <si>
    <t>X</t>
  </si>
  <si>
    <t>N/A</t>
  </si>
  <si>
    <t>LEVANTAMENTO DE CAMPO:</t>
  </si>
  <si>
    <t>\</t>
  </si>
  <si>
    <t>SP-021 - RODOANEL OESTE - KM 000+000 AO KM 029+300</t>
  </si>
  <si>
    <t>ITEM</t>
  </si>
  <si>
    <t>DESCRIÇÃO</t>
  </si>
  <si>
    <t>NÍVEL 1</t>
  </si>
  <si>
    <t>NÍVEL 2</t>
  </si>
  <si>
    <t>NÍVEL 3</t>
  </si>
  <si>
    <t>1.1</t>
  </si>
  <si>
    <t>CANT. DISPOSITIVO EXT.</t>
  </si>
  <si>
    <t>1.2</t>
  </si>
  <si>
    <t>CANT. MARGINAL EXTERNA</t>
  </si>
  <si>
    <t>1.3</t>
  </si>
  <si>
    <t>MARGINAL EXTERNA</t>
  </si>
  <si>
    <t>1.4</t>
  </si>
  <si>
    <t>CANT. LATERAL EXTERNA</t>
  </si>
  <si>
    <t>1.5</t>
  </si>
  <si>
    <t>PISTA EXTERNA</t>
  </si>
  <si>
    <t>1.6</t>
  </si>
  <si>
    <t>CANT. CENTRAL EXTERNA</t>
  </si>
  <si>
    <t>1.7</t>
  </si>
  <si>
    <t>CANT. CENTRAL INTERNA</t>
  </si>
  <si>
    <t>1.8</t>
  </si>
  <si>
    <t>PISTA INTERNA</t>
  </si>
  <si>
    <t>1.9</t>
  </si>
  <si>
    <t>CANT. LATERAL INTERNA</t>
  </si>
  <si>
    <t>1.10</t>
  </si>
  <si>
    <t>MARGINAL INTERNA</t>
  </si>
  <si>
    <t>1.11</t>
  </si>
  <si>
    <t>CANT. MARGINAL INTERNA</t>
  </si>
  <si>
    <t>1.12</t>
  </si>
  <si>
    <t>CANT. DISPOSITIVO INT.</t>
  </si>
  <si>
    <t>TOTAL - SP-021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</si>
</sst>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+&quot;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sz val="12"/>
      <name val="Aptos"/>
      <family val="2"/>
    </font>
    <font>
      <b/>
      <sz val="12"/>
      <color rgb="FF333333"/>
      <name val="Aptos"/>
      <family val="2"/>
    </font>
    <font>
      <sz val="12"/>
      <color rgb="FF333333"/>
      <name val="Aptos"/>
      <family val="2"/>
    </font>
    <font>
      <b/>
      <sz val="12"/>
      <color rgb="FF333333"/>
      <name val="Aptos Narrow"/>
      <family val="2"/>
      <scheme val="minor"/>
    </font>
    <font>
      <b/>
      <sz val="18"/>
      <color rgb="FF333333"/>
      <name val="Aptos"/>
      <family val="2"/>
    </font>
    <font>
      <sz val="18"/>
      <color rgb="FF333333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99ADC2"/>
        <bgColor indexed="64"/>
      </patternFill>
    </fill>
  </fills>
  <borders count="38">
    <border>
      <left/>
      <right/>
      <top/>
      <bottom/>
      <diagonal/>
    </border>
    <border>
      <left/>
      <right/>
      <top style="mediumDashed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mediumDashed">
        <color theme="0"/>
      </top>
      <bottom style="thin">
        <color theme="1"/>
      </bottom>
      <diagonal/>
    </border>
    <border>
      <left/>
      <right/>
      <top style="mediumDashed">
        <color theme="0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/>
      </left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 textRotation="90"/>
    </xf>
    <xf numFmtId="0" fontId="3" fillId="7" borderId="2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indent="1"/>
    </xf>
    <xf numFmtId="9" fontId="3" fillId="7" borderId="2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9" fontId="7" fillId="10" borderId="4" xfId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textRotation="90"/>
    </xf>
    <xf numFmtId="0" fontId="7" fillId="4" borderId="2" xfId="0" applyFont="1" applyFill="1" applyBorder="1" applyAlignment="1">
      <alignment horizontal="center" vertical="center" textRotation="90"/>
    </xf>
    <xf numFmtId="0" fontId="7" fillId="8" borderId="2" xfId="0" applyFont="1" applyFill="1" applyBorder="1" applyAlignment="1">
      <alignment horizontal="center" vertical="center" textRotation="90"/>
    </xf>
    <xf numFmtId="164" fontId="4" fillId="7" borderId="2" xfId="0" applyNumberFormat="1" applyFont="1" applyFill="1" applyBorder="1" applyAlignment="1">
      <alignment horizontal="center" vertical="center" textRotation="90"/>
    </xf>
    <xf numFmtId="0" fontId="7" fillId="9" borderId="1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9" fontId="7" fillId="10" borderId="3" xfId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14" fontId="7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7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indent="1"/>
    </xf>
  </cellXfs>
  <cellStyles count="2">
    <cellStyle name="Normal" xfId="0" builtinId="0"/>
    <cellStyle name="Porcentagem" xfId="1" builtinId="5"/>
  </cellStyles>
  <dxfs count="4">
    <dxf>
      <font>
        <color theme="0"/>
      </font>
      <fill>
        <patternFill>
          <bgColor theme="1"/>
        </patternFill>
      </fill>
    </dxf>
    <dxf>
      <font>
        <color rgb="FF333333"/>
      </font>
      <fill>
        <patternFill>
          <bgColor rgb="FFA9D18E"/>
        </patternFill>
      </fill>
    </dxf>
    <dxf>
      <font>
        <color rgb="FF333333"/>
      </font>
      <fill>
        <patternFill>
          <bgColor rgb="FFFFFF99"/>
        </patternFill>
      </fill>
    </dxf>
    <dxf>
      <font>
        <color rgb="FF333333"/>
      </font>
      <fill>
        <patternFill>
          <bgColor rgb="FFF7C7AC"/>
        </patternFill>
      </fill>
    </dxf>
  </dxfs>
  <tableStyles count="0" defaultTableStyle="TableStyleMedium2" defaultPivotStyle="PivotStyleLight16"/>
  <colors>
    <mruColors>
      <color rgb="FF333333"/>
      <color rgb="FF6685A3"/>
      <color rgb="FF335C85"/>
      <color rgb="FFFFFF99"/>
      <color rgb="FF003366"/>
      <color rgb="FFF7C7AC"/>
      <color rgb="FFA9D18E"/>
      <color rgb="FF99ADC2"/>
      <color rgb="FF4A3B31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373307</xdr:colOff>
      <xdr:row>0</xdr:row>
      <xdr:rowOff>111000</xdr:rowOff>
    </xdr:from>
    <xdr:to>
      <xdr:col>1</xdr:col>
      <xdr:colOff>1672497</xdr:colOff>
      <xdr:row>3</xdr:row>
      <xdr:rowOff>79500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D78B76-461C-41D8-B8E1-D5A13061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07" y="111000"/>
          <a:ext cx="1746451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373307</xdr:colOff>
      <xdr:row>0</xdr:row>
      <xdr:rowOff>111000</xdr:rowOff>
    </xdr:from>
    <xdr:to>
      <xdr:col>1</xdr:col>
      <xdr:colOff>1672497</xdr:colOff>
      <xdr:row>3</xdr:row>
      <xdr:rowOff>79500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0F19BC-5197-4BAD-904C-C995AA96A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07" y="111000"/>
          <a:ext cx="1746865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ccr.sharepoint.com/sites/RVENGEN/PLANE/05-%20Analytics,%20M&#233;todos%20e%20Performance/10%20-%20Performance%20da%20Conserva&#231;&#227;o/Retigr&#225;fico/Modelos/VC-RET-RO&#199;-LIMP-2024-12-6%20-%20Copia.xlsx" TargetMode="External"/><Relationship Id="rId1" Type="http://schemas.openxmlformats.org/officeDocument/2006/relationships/externalLinkPath" Target="https://grupoccr-my.sharepoint.com/personal/fernando_anjos_motiva_com_br/Documents/Documentos/Retigr&#225;fico%20-%20RA/VC-RET-RO&#199;-LIMP-2024-12-6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ROÇADA"/>
    </sheetNames>
    <sheetDataSet>
      <sheetData sheetId="0">
        <row r="2">
          <cell r="X2" t="str">
            <v>RA-ROÇ-LIMP-2024-12-6-R00</v>
          </cell>
        </row>
        <row r="3">
          <cell r="Z3" t="str">
            <v>R00</v>
          </cell>
        </row>
        <row r="4">
          <cell r="Z4" t="str">
            <v>RA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E95-C0CF-4723-9AC8-15646A894560}">
  <sheetPr>
    <tabColor rgb="FF037C3F"/>
    <pageSetUpPr fitToPage="1"/>
  </sheetPr>
  <dimension ref="A1:BO27"/>
  <sheetViews>
    <sheetView showGridLines="0" tabSelected="1" zoomScale="70" zoomScaleNormal="70" zoomScaleSheetLayoutView="55" workbookViewId="0">
      <pane xSplit="2" ySplit="6" topLeftCell="C7" activePane="bottomRight" state="frozen"/>
      <selection pane="bottomRight" activeCell="J25" sqref="J25"/>
      <selection pane="bottomLeft" activeCell="A4" sqref="A4"/>
      <selection pane="topRight" activeCell="B1" sqref="B1"/>
    </sheetView>
  </sheetViews>
  <sheetFormatPr defaultColWidth="0" defaultRowHeight="15.75" customHeight="1" zeroHeight="1"/>
  <cols>
    <col min="1" max="1" width="6.7109375" style="1" customWidth="1"/>
    <col min="2" max="2" width="30.7109375" style="1" customWidth="1"/>
    <col min="3" max="5" width="6.7109375" style="1" customWidth="1"/>
    <col min="6" max="67" width="3.7109375" style="1" customWidth="1"/>
    <col min="68" max="16384" width="3.7109375" style="1" hidden="1"/>
  </cols>
  <sheetData>
    <row r="1" spans="1:67" ht="15" customHeight="1">
      <c r="A1" s="75"/>
      <c r="B1" s="52"/>
      <c r="C1" s="58" t="s">
        <v>0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7" t="s">
        <v>1</v>
      </c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9"/>
    </row>
    <row r="2" spans="1:67" ht="15" customHeight="1">
      <c r="A2" s="76"/>
      <c r="B2" s="77"/>
      <c r="C2" s="53" t="s">
        <v>2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74" t="str">
        <f>[1]RESUMO!X2</f>
        <v>RA-ROÇ-LIMP-2024-12-6-R00</v>
      </c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</row>
    <row r="3" spans="1:67" ht="15" customHeight="1">
      <c r="A3" s="76"/>
      <c r="B3" s="77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6" t="s">
        <v>3</v>
      </c>
      <c r="BE3" s="56"/>
      <c r="BF3" s="56"/>
      <c r="BG3" s="56"/>
      <c r="BH3" s="56"/>
      <c r="BI3" s="56"/>
      <c r="BJ3" s="74" t="str">
        <f>[1]RESUMO!Z3</f>
        <v>R00</v>
      </c>
      <c r="BK3" s="74"/>
      <c r="BL3" s="74"/>
      <c r="BM3" s="74"/>
      <c r="BN3" s="74"/>
      <c r="BO3" s="74"/>
    </row>
    <row r="4" spans="1:67" ht="15" customHeight="1">
      <c r="A4" s="78"/>
      <c r="B4" s="79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6" t="s">
        <v>4</v>
      </c>
      <c r="BE4" s="56"/>
      <c r="BF4" s="56"/>
      <c r="BG4" s="56"/>
      <c r="BH4" s="56"/>
      <c r="BI4" s="56"/>
      <c r="BJ4" s="74" t="str">
        <f>[1]RESUMO!Z4</f>
        <v>RA</v>
      </c>
      <c r="BK4" s="74"/>
      <c r="BL4" s="74"/>
      <c r="BM4" s="74"/>
      <c r="BN4" s="74"/>
      <c r="BO4" s="74"/>
    </row>
    <row r="5" spans="1:67" ht="15.9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</row>
    <row r="6" spans="1:67" ht="30" customHeight="1">
      <c r="A6" s="60" t="s">
        <v>5</v>
      </c>
      <c r="B6" s="60"/>
      <c r="C6" s="29">
        <v>1</v>
      </c>
      <c r="D6" s="69" t="s">
        <v>6</v>
      </c>
      <c r="E6" s="69"/>
      <c r="F6" s="69"/>
      <c r="G6" s="69"/>
      <c r="H6" s="69"/>
      <c r="I6" s="69"/>
      <c r="J6" s="69"/>
      <c r="K6" s="69"/>
      <c r="L6" s="70">
        <v>2</v>
      </c>
      <c r="M6" s="70"/>
      <c r="N6" s="69" t="s">
        <v>7</v>
      </c>
      <c r="O6" s="69"/>
      <c r="P6" s="69"/>
      <c r="Q6" s="69"/>
      <c r="R6" s="69"/>
      <c r="S6" s="69"/>
      <c r="T6" s="69"/>
      <c r="U6" s="69"/>
      <c r="V6" s="69"/>
      <c r="W6" s="69"/>
      <c r="X6" s="71">
        <v>3</v>
      </c>
      <c r="Y6" s="71"/>
      <c r="Z6" s="69" t="s">
        <v>8</v>
      </c>
      <c r="AA6" s="69"/>
      <c r="AB6" s="69"/>
      <c r="AC6" s="69"/>
      <c r="AD6" s="69"/>
      <c r="AE6" s="69"/>
      <c r="AF6" s="69"/>
      <c r="AG6" s="69"/>
      <c r="AH6" s="69"/>
      <c r="AI6" s="69"/>
      <c r="AJ6" s="72" t="s">
        <v>9</v>
      </c>
      <c r="AK6" s="72"/>
      <c r="AL6" s="69" t="s">
        <v>10</v>
      </c>
      <c r="AM6" s="69"/>
      <c r="AN6" s="69"/>
      <c r="AO6" s="69"/>
      <c r="AP6" s="69"/>
      <c r="AQ6" s="69"/>
      <c r="AR6" s="69"/>
      <c r="AS6" s="69"/>
      <c r="AT6" s="69"/>
      <c r="AU6" s="69"/>
      <c r="AV6" s="68" t="s">
        <v>11</v>
      </c>
      <c r="AW6" s="68"/>
      <c r="AX6" s="68"/>
      <c r="AY6" s="68"/>
      <c r="AZ6" s="68"/>
      <c r="BA6" s="68"/>
      <c r="BB6" s="68"/>
      <c r="BC6" s="68"/>
      <c r="BD6" s="68"/>
      <c r="BE6" s="68"/>
      <c r="BF6" s="67">
        <v>45744</v>
      </c>
      <c r="BG6" s="67"/>
      <c r="BH6" s="67"/>
      <c r="BI6" s="67"/>
      <c r="BJ6" s="67"/>
      <c r="BK6" s="67"/>
      <c r="BL6" s="67"/>
      <c r="BM6" s="67"/>
      <c r="BN6" s="67"/>
      <c r="BO6" s="67"/>
    </row>
    <row r="7" spans="1:67" ht="15" customHeight="1"/>
    <row r="8" spans="1:67" ht="30" customHeight="1">
      <c r="A8" s="9" t="s">
        <v>12</v>
      </c>
      <c r="B8" s="10" t="s">
        <v>13</v>
      </c>
      <c r="C8" s="11"/>
      <c r="D8" s="12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/>
      <c r="BO8"/>
    </row>
    <row r="9" spans="1:67" ht="60" customHeight="1">
      <c r="A9" s="14" t="s">
        <v>14</v>
      </c>
      <c r="B9" s="15" t="s">
        <v>15</v>
      </c>
      <c r="C9" s="25" t="s">
        <v>16</v>
      </c>
      <c r="D9" s="26" t="s">
        <v>17</v>
      </c>
      <c r="E9" s="27" t="s">
        <v>18</v>
      </c>
      <c r="F9" s="28">
        <v>0</v>
      </c>
      <c r="G9" s="28">
        <f>F9+500</f>
        <v>500</v>
      </c>
      <c r="H9" s="28">
        <f t="shared" ref="H9:BL9" si="0">G9+500</f>
        <v>1000</v>
      </c>
      <c r="I9" s="28">
        <f t="shared" si="0"/>
        <v>1500</v>
      </c>
      <c r="J9" s="28">
        <f t="shared" si="0"/>
        <v>2000</v>
      </c>
      <c r="K9" s="28">
        <f t="shared" si="0"/>
        <v>2500</v>
      </c>
      <c r="L9" s="28">
        <f t="shared" si="0"/>
        <v>3000</v>
      </c>
      <c r="M9" s="28">
        <f t="shared" si="0"/>
        <v>3500</v>
      </c>
      <c r="N9" s="28">
        <f t="shared" si="0"/>
        <v>4000</v>
      </c>
      <c r="O9" s="28">
        <f t="shared" si="0"/>
        <v>4500</v>
      </c>
      <c r="P9" s="28">
        <f t="shared" si="0"/>
        <v>5000</v>
      </c>
      <c r="Q9" s="28">
        <f t="shared" si="0"/>
        <v>5500</v>
      </c>
      <c r="R9" s="28">
        <f t="shared" si="0"/>
        <v>6000</v>
      </c>
      <c r="S9" s="28">
        <f t="shared" si="0"/>
        <v>6500</v>
      </c>
      <c r="T9" s="28">
        <f t="shared" si="0"/>
        <v>7000</v>
      </c>
      <c r="U9" s="28">
        <f t="shared" si="0"/>
        <v>7500</v>
      </c>
      <c r="V9" s="28">
        <f t="shared" si="0"/>
        <v>8000</v>
      </c>
      <c r="W9" s="28">
        <f t="shared" si="0"/>
        <v>8500</v>
      </c>
      <c r="X9" s="28">
        <f t="shared" si="0"/>
        <v>9000</v>
      </c>
      <c r="Y9" s="28">
        <f t="shared" si="0"/>
        <v>9500</v>
      </c>
      <c r="Z9" s="28">
        <f t="shared" si="0"/>
        <v>10000</v>
      </c>
      <c r="AA9" s="28">
        <f t="shared" si="0"/>
        <v>10500</v>
      </c>
      <c r="AB9" s="28">
        <f t="shared" si="0"/>
        <v>11000</v>
      </c>
      <c r="AC9" s="28">
        <f t="shared" si="0"/>
        <v>11500</v>
      </c>
      <c r="AD9" s="28">
        <f t="shared" si="0"/>
        <v>12000</v>
      </c>
      <c r="AE9" s="28">
        <f t="shared" si="0"/>
        <v>12500</v>
      </c>
      <c r="AF9" s="28">
        <f t="shared" si="0"/>
        <v>13000</v>
      </c>
      <c r="AG9" s="28">
        <f t="shared" si="0"/>
        <v>13500</v>
      </c>
      <c r="AH9" s="28">
        <f t="shared" si="0"/>
        <v>14000</v>
      </c>
      <c r="AI9" s="28">
        <f t="shared" si="0"/>
        <v>14500</v>
      </c>
      <c r="AJ9" s="28">
        <f t="shared" si="0"/>
        <v>15000</v>
      </c>
      <c r="AK9" s="28">
        <f t="shared" si="0"/>
        <v>15500</v>
      </c>
      <c r="AL9" s="28">
        <f t="shared" si="0"/>
        <v>16000</v>
      </c>
      <c r="AM9" s="28">
        <f t="shared" si="0"/>
        <v>16500</v>
      </c>
      <c r="AN9" s="28">
        <f t="shared" si="0"/>
        <v>17000</v>
      </c>
      <c r="AO9" s="28">
        <f t="shared" si="0"/>
        <v>17500</v>
      </c>
      <c r="AP9" s="28">
        <f t="shared" si="0"/>
        <v>18000</v>
      </c>
      <c r="AQ9" s="28">
        <f t="shared" si="0"/>
        <v>18500</v>
      </c>
      <c r="AR9" s="28">
        <f t="shared" si="0"/>
        <v>19000</v>
      </c>
      <c r="AS9" s="28">
        <f t="shared" si="0"/>
        <v>19500</v>
      </c>
      <c r="AT9" s="28">
        <f t="shared" si="0"/>
        <v>20000</v>
      </c>
      <c r="AU9" s="28">
        <f t="shared" si="0"/>
        <v>20500</v>
      </c>
      <c r="AV9" s="28">
        <f t="shared" si="0"/>
        <v>21000</v>
      </c>
      <c r="AW9" s="28">
        <f t="shared" si="0"/>
        <v>21500</v>
      </c>
      <c r="AX9" s="28">
        <f t="shared" si="0"/>
        <v>22000</v>
      </c>
      <c r="AY9" s="28">
        <f t="shared" si="0"/>
        <v>22500</v>
      </c>
      <c r="AZ9" s="28">
        <f t="shared" si="0"/>
        <v>23000</v>
      </c>
      <c r="BA9" s="28">
        <f t="shared" si="0"/>
        <v>23500</v>
      </c>
      <c r="BB9" s="28">
        <f t="shared" si="0"/>
        <v>24000</v>
      </c>
      <c r="BC9" s="28">
        <f t="shared" si="0"/>
        <v>24500</v>
      </c>
      <c r="BD9" s="28">
        <f t="shared" si="0"/>
        <v>25000</v>
      </c>
      <c r="BE9" s="28">
        <f t="shared" si="0"/>
        <v>25500</v>
      </c>
      <c r="BF9" s="28">
        <f t="shared" si="0"/>
        <v>26000</v>
      </c>
      <c r="BG9" s="28">
        <f t="shared" si="0"/>
        <v>26500</v>
      </c>
      <c r="BH9" s="28">
        <f t="shared" si="0"/>
        <v>27000</v>
      </c>
      <c r="BI9" s="28">
        <f t="shared" si="0"/>
        <v>27500</v>
      </c>
      <c r="BJ9" s="28">
        <f t="shared" si="0"/>
        <v>28000</v>
      </c>
      <c r="BK9" s="28">
        <f t="shared" si="0"/>
        <v>28500</v>
      </c>
      <c r="BL9" s="28">
        <f t="shared" si="0"/>
        <v>29000</v>
      </c>
      <c r="BM9" s="28">
        <v>29300</v>
      </c>
      <c r="BN9"/>
      <c r="BO9"/>
    </row>
    <row r="10" spans="1:67" ht="15.95">
      <c r="A10" s="16" t="s">
        <v>19</v>
      </c>
      <c r="B10" s="17" t="s">
        <v>20</v>
      </c>
      <c r="C10" s="24">
        <f>IFERROR(COUNTIF($F10:$BO10,1)/(COUNT($F$9:$BO$9)-COUNTIF($F10:$BO10,"X")),"-")</f>
        <v>0.72727272727272729</v>
      </c>
      <c r="D10" s="24">
        <f>IFERROR(COUNTIF($F10:$BO10,2)/(COUNT($F$9:$BO$9)-COUNTIF($F10:$BO10,"X")),"-")</f>
        <v>0</v>
      </c>
      <c r="E10" s="24">
        <f>IFERROR(COUNTIF($F10:$BO10,3)/(COUNT($F$9:$BO$9)-COUNTIF($F10:$BO10,"X")),"-")</f>
        <v>0.27272727272727271</v>
      </c>
      <c r="F10" s="51" t="s">
        <v>9</v>
      </c>
      <c r="G10" s="44" t="s">
        <v>9</v>
      </c>
      <c r="H10" s="44" t="s">
        <v>9</v>
      </c>
      <c r="I10" s="45" t="s">
        <v>9</v>
      </c>
      <c r="J10" s="45" t="s">
        <v>9</v>
      </c>
      <c r="K10" s="45" t="s">
        <v>9</v>
      </c>
      <c r="L10" s="4">
        <v>3</v>
      </c>
      <c r="M10" s="4">
        <v>3</v>
      </c>
      <c r="N10" s="45" t="s">
        <v>9</v>
      </c>
      <c r="O10" s="45" t="s">
        <v>9</v>
      </c>
      <c r="P10" s="45" t="s">
        <v>9</v>
      </c>
      <c r="Q10" s="45" t="s">
        <v>9</v>
      </c>
      <c r="R10" s="4">
        <v>1</v>
      </c>
      <c r="S10" s="4">
        <v>1</v>
      </c>
      <c r="T10" s="45" t="s">
        <v>9</v>
      </c>
      <c r="U10" s="45" t="s">
        <v>9</v>
      </c>
      <c r="V10" s="45" t="s">
        <v>9</v>
      </c>
      <c r="W10" s="45" t="s">
        <v>9</v>
      </c>
      <c r="X10" s="45" t="s">
        <v>9</v>
      </c>
      <c r="Y10" s="45" t="s">
        <v>9</v>
      </c>
      <c r="Z10" s="45" t="s">
        <v>9</v>
      </c>
      <c r="AA10" s="45" t="s">
        <v>9</v>
      </c>
      <c r="AB10" s="45" t="s">
        <v>9</v>
      </c>
      <c r="AC10" s="45" t="s">
        <v>9</v>
      </c>
      <c r="AD10" s="45" t="s">
        <v>9</v>
      </c>
      <c r="AE10" s="45" t="s">
        <v>9</v>
      </c>
      <c r="AF10" s="45" t="s">
        <v>9</v>
      </c>
      <c r="AG10" s="45" t="s">
        <v>9</v>
      </c>
      <c r="AH10" s="45" t="s">
        <v>9</v>
      </c>
      <c r="AI10" s="45" t="s">
        <v>9</v>
      </c>
      <c r="AJ10" s="4">
        <v>1</v>
      </c>
      <c r="AK10" s="4">
        <v>1</v>
      </c>
      <c r="AL10" s="45" t="s">
        <v>9</v>
      </c>
      <c r="AM10" s="45" t="s">
        <v>9</v>
      </c>
      <c r="AN10" s="45" t="s">
        <v>9</v>
      </c>
      <c r="AO10" s="45" t="s">
        <v>9</v>
      </c>
      <c r="AP10" s="45" t="s">
        <v>9</v>
      </c>
      <c r="AQ10" s="45" t="s">
        <v>9</v>
      </c>
      <c r="AR10" s="45" t="s">
        <v>9</v>
      </c>
      <c r="AS10" s="4">
        <v>1</v>
      </c>
      <c r="AT10" s="4">
        <v>1</v>
      </c>
      <c r="AU10" s="45" t="s">
        <v>9</v>
      </c>
      <c r="AV10" s="45" t="s">
        <v>9</v>
      </c>
      <c r="AW10" s="45" t="s">
        <v>9</v>
      </c>
      <c r="AX10" s="45" t="s">
        <v>9</v>
      </c>
      <c r="AY10" s="45" t="s">
        <v>9</v>
      </c>
      <c r="AZ10" s="45" t="s">
        <v>9</v>
      </c>
      <c r="BA10" s="45" t="s">
        <v>9</v>
      </c>
      <c r="BB10" s="4">
        <v>1</v>
      </c>
      <c r="BC10" s="4">
        <v>1</v>
      </c>
      <c r="BD10" s="45" t="s">
        <v>9</v>
      </c>
      <c r="BE10" s="45" t="s">
        <v>9</v>
      </c>
      <c r="BF10" s="45" t="s">
        <v>9</v>
      </c>
      <c r="BG10" s="45" t="s">
        <v>9</v>
      </c>
      <c r="BH10" s="45" t="s">
        <v>9</v>
      </c>
      <c r="BI10" s="45" t="s">
        <v>9</v>
      </c>
      <c r="BJ10" s="45" t="s">
        <v>9</v>
      </c>
      <c r="BK10" s="45" t="s">
        <v>9</v>
      </c>
      <c r="BL10" s="45" t="s">
        <v>9</v>
      </c>
      <c r="BM10" s="4">
        <v>3</v>
      </c>
      <c r="BN10"/>
      <c r="BO10"/>
    </row>
    <row r="11" spans="1:67" ht="15.95">
      <c r="A11" s="18" t="s">
        <v>21</v>
      </c>
      <c r="B11" s="8" t="s">
        <v>22</v>
      </c>
      <c r="C11" s="24">
        <f>IFERROR(COUNTIF($F11:$BO11,1)/(COUNT($F$9:$BO$9)-COUNTIF($F11:$BO11,"X")),"-")</f>
        <v>1</v>
      </c>
      <c r="D11" s="24">
        <f>IFERROR(COUNTIF($F11:$BO11,2)/(COUNT($F$9:$BO$9)-COUNTIF($F11:$BO11,"X")),"-")</f>
        <v>0</v>
      </c>
      <c r="E11" s="24">
        <f>IFERROR(COUNTIF($F11:$BO11,3)/(COUNT($F$9:$BO$9)-COUNTIF($F11:$BO11,"X")),"-")</f>
        <v>0</v>
      </c>
      <c r="F11" s="50" t="s">
        <v>9</v>
      </c>
      <c r="G11" s="46" t="s">
        <v>9</v>
      </c>
      <c r="H11" s="46" t="s">
        <v>9</v>
      </c>
      <c r="I11" s="47" t="s">
        <v>9</v>
      </c>
      <c r="J11" s="47" t="s">
        <v>9</v>
      </c>
      <c r="K11" s="47" t="s">
        <v>9</v>
      </c>
      <c r="L11" s="47" t="s">
        <v>9</v>
      </c>
      <c r="M11" s="47" t="s">
        <v>9</v>
      </c>
      <c r="N11" s="47" t="s">
        <v>9</v>
      </c>
      <c r="O11" s="47" t="s">
        <v>9</v>
      </c>
      <c r="P11" s="47" t="s">
        <v>9</v>
      </c>
      <c r="Q11" s="47" t="s">
        <v>9</v>
      </c>
      <c r="R11" s="47" t="s">
        <v>9</v>
      </c>
      <c r="S11" s="47" t="s">
        <v>9</v>
      </c>
      <c r="T11" s="47" t="s">
        <v>9</v>
      </c>
      <c r="U11" s="47" t="s">
        <v>9</v>
      </c>
      <c r="V11" s="47" t="s">
        <v>9</v>
      </c>
      <c r="W11" s="47" t="s">
        <v>9</v>
      </c>
      <c r="X11" s="47" t="s">
        <v>9</v>
      </c>
      <c r="Y11" s="47" t="s">
        <v>9</v>
      </c>
      <c r="Z11" s="47" t="s">
        <v>9</v>
      </c>
      <c r="AA11" s="47" t="s">
        <v>9</v>
      </c>
      <c r="AB11" s="47" t="s">
        <v>9</v>
      </c>
      <c r="AC11" s="47" t="s">
        <v>9</v>
      </c>
      <c r="AD11" s="47" t="s">
        <v>9</v>
      </c>
      <c r="AE11" s="47" t="s">
        <v>9</v>
      </c>
      <c r="AF11" s="47" t="s">
        <v>9</v>
      </c>
      <c r="AG11" s="47" t="s">
        <v>9</v>
      </c>
      <c r="AH11" s="47" t="s">
        <v>9</v>
      </c>
      <c r="AI11" s="47" t="s">
        <v>9</v>
      </c>
      <c r="AJ11" s="47" t="s">
        <v>9</v>
      </c>
      <c r="AK11" s="47" t="s">
        <v>9</v>
      </c>
      <c r="AL11" s="47" t="s">
        <v>9</v>
      </c>
      <c r="AM11" s="47" t="s">
        <v>9</v>
      </c>
      <c r="AN11" s="47" t="s">
        <v>9</v>
      </c>
      <c r="AO11" s="47" t="s">
        <v>9</v>
      </c>
      <c r="AP11" s="47" t="s">
        <v>9</v>
      </c>
      <c r="AQ11" s="47" t="s">
        <v>9</v>
      </c>
      <c r="AR11" s="47" t="s">
        <v>9</v>
      </c>
      <c r="AS11" s="47" t="s">
        <v>9</v>
      </c>
      <c r="AT11" s="36">
        <v>1</v>
      </c>
      <c r="AU11" s="36">
        <v>1</v>
      </c>
      <c r="AV11" s="36">
        <v>1</v>
      </c>
      <c r="AW11" s="36">
        <v>1</v>
      </c>
      <c r="AX11" s="36">
        <v>1</v>
      </c>
      <c r="AY11" s="36">
        <v>1</v>
      </c>
      <c r="AZ11" s="36">
        <v>1</v>
      </c>
      <c r="BA11" s="36">
        <v>1</v>
      </c>
      <c r="BB11" s="47" t="s">
        <v>9</v>
      </c>
      <c r="BC11" s="47" t="s">
        <v>9</v>
      </c>
      <c r="BD11" s="47" t="s">
        <v>9</v>
      </c>
      <c r="BE11" s="47" t="s">
        <v>9</v>
      </c>
      <c r="BF11" s="47" t="s">
        <v>9</v>
      </c>
      <c r="BG11" s="47" t="s">
        <v>9</v>
      </c>
      <c r="BH11" s="47" t="s">
        <v>9</v>
      </c>
      <c r="BI11" s="47" t="s">
        <v>9</v>
      </c>
      <c r="BJ11" s="47" t="s">
        <v>9</v>
      </c>
      <c r="BK11" s="47" t="s">
        <v>9</v>
      </c>
      <c r="BL11" s="47" t="s">
        <v>9</v>
      </c>
      <c r="BM11" s="47" t="s">
        <v>9</v>
      </c>
      <c r="BN11"/>
      <c r="BO11"/>
    </row>
    <row r="12" spans="1:67" ht="16.5" thickBot="1">
      <c r="A12" s="63" t="s">
        <v>23</v>
      </c>
      <c r="B12" s="65" t="s">
        <v>24</v>
      </c>
      <c r="C12" s="61" t="s">
        <v>10</v>
      </c>
      <c r="D12" s="61" t="s">
        <v>10</v>
      </c>
      <c r="E12" s="61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/>
      <c r="BO12"/>
    </row>
    <row r="13" spans="1:67" ht="15.95">
      <c r="A13" s="64"/>
      <c r="B13" s="66"/>
      <c r="C13" s="62"/>
      <c r="D13" s="62"/>
      <c r="E13" s="6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/>
      <c r="BO13"/>
    </row>
    <row r="14" spans="1:67" ht="15.95">
      <c r="A14" s="18" t="s">
        <v>25</v>
      </c>
      <c r="B14" s="8" t="s">
        <v>26</v>
      </c>
      <c r="C14" s="24">
        <f>IFERROR(COUNTIF($F14:$BO14,1)/(COUNT($F$9:$BO$9)-COUNTIF($F14:$BO14,"X")),"-")</f>
        <v>0.54545454545454541</v>
      </c>
      <c r="D14" s="24">
        <f>IFERROR(COUNTIF($F14:$BO14,2)/(COUNT($F$9:$BO$9)-COUNTIF($F14:$BO14,"X")),"-")</f>
        <v>0.18181818181818182</v>
      </c>
      <c r="E14" s="24">
        <f>IFERROR(COUNTIF($F14:$BO14,3)/(COUNT($F$9:$BO$9)-COUNTIF($F14:$BO14,"X")),"-")</f>
        <v>0.27272727272727271</v>
      </c>
      <c r="F14" s="5">
        <v>1</v>
      </c>
      <c r="G14" s="37">
        <v>1</v>
      </c>
      <c r="H14" s="37">
        <v>1</v>
      </c>
      <c r="I14" s="6">
        <v>1</v>
      </c>
      <c r="J14" s="6">
        <v>2</v>
      </c>
      <c r="K14" s="6">
        <v>2</v>
      </c>
      <c r="L14" s="6">
        <v>1</v>
      </c>
      <c r="M14" s="6">
        <v>1</v>
      </c>
      <c r="N14" s="6">
        <v>1</v>
      </c>
      <c r="O14" s="6">
        <v>2</v>
      </c>
      <c r="P14" s="6">
        <v>2</v>
      </c>
      <c r="Q14" s="6">
        <v>2</v>
      </c>
      <c r="R14" s="6">
        <v>2</v>
      </c>
      <c r="S14" s="6">
        <v>2</v>
      </c>
      <c r="T14" s="6">
        <v>2</v>
      </c>
      <c r="U14" s="48" t="s">
        <v>9</v>
      </c>
      <c r="V14" s="48" t="s">
        <v>9</v>
      </c>
      <c r="W14" s="48" t="s">
        <v>9</v>
      </c>
      <c r="X14" s="6">
        <v>3</v>
      </c>
      <c r="Y14" s="6">
        <v>3</v>
      </c>
      <c r="Z14" s="6">
        <v>3</v>
      </c>
      <c r="AA14" s="6">
        <v>3</v>
      </c>
      <c r="AB14" s="48" t="s">
        <v>9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2</v>
      </c>
      <c r="AI14" s="6">
        <v>2</v>
      </c>
      <c r="AJ14" s="6">
        <v>3</v>
      </c>
      <c r="AK14" s="6">
        <v>3</v>
      </c>
      <c r="AL14" s="6">
        <v>3</v>
      </c>
      <c r="AM14" s="6">
        <v>3</v>
      </c>
      <c r="AN14" s="6">
        <v>3</v>
      </c>
      <c r="AO14" s="6">
        <v>3</v>
      </c>
      <c r="AP14" s="6">
        <v>3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3</v>
      </c>
      <c r="BE14" s="6">
        <v>3</v>
      </c>
      <c r="BF14" s="6">
        <v>3</v>
      </c>
      <c r="BG14" s="6">
        <v>3</v>
      </c>
      <c r="BH14" s="6">
        <v>1</v>
      </c>
      <c r="BI14" s="6">
        <v>1</v>
      </c>
      <c r="BJ14" s="6">
        <v>1</v>
      </c>
      <c r="BK14" s="48" t="s">
        <v>9</v>
      </c>
      <c r="BL14" s="6">
        <v>1</v>
      </c>
      <c r="BM14" s="6">
        <v>1</v>
      </c>
      <c r="BN14"/>
      <c r="BO14"/>
    </row>
    <row r="15" spans="1:67" ht="16.5" thickBot="1">
      <c r="A15" s="63" t="s">
        <v>27</v>
      </c>
      <c r="B15" s="65" t="s">
        <v>28</v>
      </c>
      <c r="C15" s="61" t="s">
        <v>10</v>
      </c>
      <c r="D15" s="61" t="s">
        <v>10</v>
      </c>
      <c r="E15" s="61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/>
      <c r="BO15"/>
    </row>
    <row r="16" spans="1:67" ht="15.95">
      <c r="A16" s="64"/>
      <c r="B16" s="66"/>
      <c r="C16" s="62"/>
      <c r="D16" s="62"/>
      <c r="E16" s="6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/>
      <c r="BO16"/>
    </row>
    <row r="17" spans="1:67" ht="15.95">
      <c r="A17" s="18" t="s">
        <v>29</v>
      </c>
      <c r="B17" s="8" t="s">
        <v>30</v>
      </c>
      <c r="C17" s="24">
        <f>IFERROR(COUNTIF($F17:$BO17,1)/(COUNT($F$9:$BO$9)-COUNTIF($F17:$BO17,"X")),"-")</f>
        <v>0.82352941176470584</v>
      </c>
      <c r="D17" s="24">
        <f>IFERROR(COUNTIF($F17:$BO17,2)/(COUNT($F$9:$BO$9)-COUNTIF($F17:$BO17,"X")),"-")</f>
        <v>9.8039215686274508E-2</v>
      </c>
      <c r="E17" s="24">
        <f>IFERROR(COUNTIF($F17:$BO17,3)/(COUNT($F$9:$BO$9)-COUNTIF($F17:$BO17,"X")),"-")</f>
        <v>7.8431372549019607E-2</v>
      </c>
      <c r="F17" s="38">
        <v>1</v>
      </c>
      <c r="G17" s="39">
        <v>1</v>
      </c>
      <c r="H17" s="39">
        <v>1</v>
      </c>
      <c r="I17" s="40">
        <v>1</v>
      </c>
      <c r="J17" s="40">
        <v>1</v>
      </c>
      <c r="K17" s="40">
        <v>3</v>
      </c>
      <c r="L17" s="40">
        <v>1</v>
      </c>
      <c r="M17" s="41">
        <v>1</v>
      </c>
      <c r="N17" s="41">
        <v>1</v>
      </c>
      <c r="O17" s="41">
        <v>1</v>
      </c>
      <c r="P17" s="41">
        <v>1</v>
      </c>
      <c r="Q17" s="41">
        <v>1</v>
      </c>
      <c r="R17" s="41">
        <v>3</v>
      </c>
      <c r="S17" s="41">
        <v>2</v>
      </c>
      <c r="T17" s="41">
        <v>1</v>
      </c>
      <c r="U17" s="49" t="s">
        <v>9</v>
      </c>
      <c r="V17" s="49" t="s">
        <v>9</v>
      </c>
      <c r="W17" s="49" t="s">
        <v>9</v>
      </c>
      <c r="X17" s="41">
        <v>2</v>
      </c>
      <c r="Y17" s="41">
        <v>2</v>
      </c>
      <c r="Z17" s="41">
        <v>1</v>
      </c>
      <c r="AA17" s="41">
        <v>1</v>
      </c>
      <c r="AB17" s="49" t="s">
        <v>9</v>
      </c>
      <c r="AC17" s="41">
        <v>1</v>
      </c>
      <c r="AD17" s="41">
        <v>1</v>
      </c>
      <c r="AE17" s="41">
        <v>1</v>
      </c>
      <c r="AF17" s="41">
        <v>1</v>
      </c>
      <c r="AG17" s="41">
        <v>1</v>
      </c>
      <c r="AH17" s="41">
        <v>1</v>
      </c>
      <c r="AI17" s="41">
        <v>1</v>
      </c>
      <c r="AJ17" s="41">
        <v>2</v>
      </c>
      <c r="AK17" s="41">
        <v>2</v>
      </c>
      <c r="AL17" s="41">
        <v>1</v>
      </c>
      <c r="AM17" s="41">
        <v>1</v>
      </c>
      <c r="AN17" s="41">
        <v>1</v>
      </c>
      <c r="AO17" s="41">
        <v>1</v>
      </c>
      <c r="AP17" s="41">
        <v>1</v>
      </c>
      <c r="AQ17" s="41">
        <v>1</v>
      </c>
      <c r="AR17" s="41">
        <v>1</v>
      </c>
      <c r="AS17" s="41">
        <v>1</v>
      </c>
      <c r="AT17" s="41">
        <v>1</v>
      </c>
      <c r="AU17" s="41">
        <v>1</v>
      </c>
      <c r="AV17" s="41">
        <v>3</v>
      </c>
      <c r="AW17" s="41">
        <v>3</v>
      </c>
      <c r="AX17" s="49" t="s">
        <v>9</v>
      </c>
      <c r="AY17" s="49" t="s">
        <v>9</v>
      </c>
      <c r="AZ17" s="49" t="s">
        <v>9</v>
      </c>
      <c r="BA17" s="41">
        <v>1</v>
      </c>
      <c r="BB17" s="41">
        <v>1</v>
      </c>
      <c r="BC17" s="41">
        <v>1</v>
      </c>
      <c r="BD17" s="49" t="s">
        <v>9</v>
      </c>
      <c r="BE17" s="41">
        <v>1</v>
      </c>
      <c r="BF17" s="41">
        <v>1</v>
      </c>
      <c r="BG17" s="41">
        <v>1</v>
      </c>
      <c r="BH17" s="41">
        <v>1</v>
      </c>
      <c r="BI17" s="41">
        <v>1</v>
      </c>
      <c r="BJ17" s="41">
        <v>1</v>
      </c>
      <c r="BK17" s="49" t="s">
        <v>9</v>
      </c>
      <c r="BL17" s="41">
        <v>1</v>
      </c>
      <c r="BM17" s="41">
        <v>1</v>
      </c>
      <c r="BN17"/>
      <c r="BO17"/>
    </row>
    <row r="18" spans="1:67" ht="15.95">
      <c r="A18" s="18" t="s">
        <v>31</v>
      </c>
      <c r="B18" s="8" t="s">
        <v>32</v>
      </c>
      <c r="C18" s="24">
        <f>IFERROR(COUNTIF($F18:$BO18,1)/(COUNT($F$9:$BO$9)-COUNTIF($F18:$BO18,"X")),"-")</f>
        <v>0.75</v>
      </c>
      <c r="D18" s="24">
        <f>IFERROR(COUNTIF($F18:$BO18,2)/(COUNT($F$9:$BO$9)-COUNTIF($F18:$BO18,"X")),"-")</f>
        <v>0.10416666666666667</v>
      </c>
      <c r="E18" s="24">
        <f>IFERROR(COUNTIF($F18:$BO18,3)/(COUNT($F$9:$BO$9)-COUNTIF($F18:$BO18,"X")),"-")</f>
        <v>0.14583333333333334</v>
      </c>
      <c r="F18" s="5">
        <v>1</v>
      </c>
      <c r="G18" s="37">
        <v>1</v>
      </c>
      <c r="H18" s="37">
        <v>1</v>
      </c>
      <c r="I18" s="6">
        <v>1</v>
      </c>
      <c r="J18" s="6">
        <v>1</v>
      </c>
      <c r="K18" s="6">
        <v>3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3</v>
      </c>
      <c r="S18" s="6">
        <v>2</v>
      </c>
      <c r="T18" s="6">
        <v>1</v>
      </c>
      <c r="U18" s="48" t="s">
        <v>9</v>
      </c>
      <c r="V18" s="48" t="s">
        <v>9</v>
      </c>
      <c r="W18" s="48" t="s">
        <v>9</v>
      </c>
      <c r="X18" s="6">
        <v>2</v>
      </c>
      <c r="Y18" s="6">
        <v>2</v>
      </c>
      <c r="Z18" s="6">
        <v>1</v>
      </c>
      <c r="AA18" s="6">
        <v>1</v>
      </c>
      <c r="AB18" s="48" t="s">
        <v>9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2</v>
      </c>
      <c r="AK18" s="6">
        <v>2</v>
      </c>
      <c r="AL18" s="48" t="s">
        <v>9</v>
      </c>
      <c r="AM18" s="48" t="s">
        <v>9</v>
      </c>
      <c r="AN18" s="48" t="s">
        <v>9</v>
      </c>
      <c r="AO18" s="48" t="s">
        <v>9</v>
      </c>
      <c r="AP18" s="48" t="s">
        <v>9</v>
      </c>
      <c r="AQ18" s="48" t="s">
        <v>9</v>
      </c>
      <c r="AR18" s="48" t="s">
        <v>9</v>
      </c>
      <c r="AS18" s="6">
        <v>1</v>
      </c>
      <c r="AT18" s="6">
        <v>1</v>
      </c>
      <c r="AU18" s="6">
        <v>1</v>
      </c>
      <c r="AV18" s="6">
        <v>3</v>
      </c>
      <c r="AW18" s="6">
        <v>3</v>
      </c>
      <c r="AX18" s="6">
        <v>3</v>
      </c>
      <c r="AY18" s="6">
        <v>3</v>
      </c>
      <c r="AZ18" s="6">
        <v>3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1</v>
      </c>
      <c r="BG18" s="6">
        <v>1</v>
      </c>
      <c r="BH18" s="6">
        <v>1</v>
      </c>
      <c r="BI18" s="6">
        <v>1</v>
      </c>
      <c r="BJ18" s="6">
        <v>1</v>
      </c>
      <c r="BK18" s="48" t="s">
        <v>9</v>
      </c>
      <c r="BL18" s="6">
        <v>1</v>
      </c>
      <c r="BM18" s="6">
        <v>1</v>
      </c>
      <c r="BN18"/>
      <c r="BO18"/>
    </row>
    <row r="19" spans="1:67" ht="16.5" thickBot="1">
      <c r="A19" s="80" t="s">
        <v>33</v>
      </c>
      <c r="B19" s="81" t="s">
        <v>34</v>
      </c>
      <c r="C19" s="61" t="s">
        <v>10</v>
      </c>
      <c r="D19" s="61" t="s">
        <v>10</v>
      </c>
      <c r="E19" s="61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/>
      <c r="BO19"/>
    </row>
    <row r="20" spans="1:67" ht="15.95">
      <c r="A20" s="80"/>
      <c r="B20" s="81"/>
      <c r="C20" s="62"/>
      <c r="D20" s="62"/>
      <c r="E20" s="6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/>
      <c r="BO20"/>
    </row>
    <row r="21" spans="1:67" ht="15.95">
      <c r="A21" s="18" t="s">
        <v>35</v>
      </c>
      <c r="B21" s="8" t="s">
        <v>36</v>
      </c>
      <c r="C21" s="24">
        <f>IFERROR(COUNTIF($F21:$BO21,1)/(COUNT($F$9:$BO$9)-COUNTIF($F21:$BO21,"X")),"-")</f>
        <v>0.49090909090909091</v>
      </c>
      <c r="D21" s="24">
        <f>IFERROR(COUNTIF($F21:$BO21,2)/(COUNT($F$9:$BO$9)-COUNTIF($F21:$BO21,"X")),"-")</f>
        <v>0.38181818181818183</v>
      </c>
      <c r="E21" s="24">
        <f>IFERROR(COUNTIF($F21:$BO21,3)/(COUNT($F$9:$BO$9)-COUNTIF($F21:$BO21,"X")),"-")</f>
        <v>0.12727272727272726</v>
      </c>
      <c r="F21" s="42">
        <v>2</v>
      </c>
      <c r="G21" s="43">
        <v>2</v>
      </c>
      <c r="H21" s="43">
        <v>2</v>
      </c>
      <c r="I21" s="41">
        <v>2</v>
      </c>
      <c r="J21" s="41">
        <v>3</v>
      </c>
      <c r="K21" s="41">
        <v>2</v>
      </c>
      <c r="L21" s="41">
        <v>2</v>
      </c>
      <c r="M21" s="41">
        <v>2</v>
      </c>
      <c r="N21" s="41">
        <v>3</v>
      </c>
      <c r="O21" s="41">
        <v>3</v>
      </c>
      <c r="P21" s="41">
        <v>3</v>
      </c>
      <c r="Q21" s="41">
        <v>3</v>
      </c>
      <c r="R21" s="41">
        <v>3</v>
      </c>
      <c r="S21" s="41">
        <v>3</v>
      </c>
      <c r="T21" s="41">
        <v>1</v>
      </c>
      <c r="U21" s="49" t="s">
        <v>9</v>
      </c>
      <c r="V21" s="49" t="s">
        <v>9</v>
      </c>
      <c r="W21" s="49" t="s">
        <v>9</v>
      </c>
      <c r="X21" s="41">
        <v>1</v>
      </c>
      <c r="Y21" s="41">
        <v>1</v>
      </c>
      <c r="Z21" s="41">
        <v>2</v>
      </c>
      <c r="AA21" s="41">
        <v>2</v>
      </c>
      <c r="AB21" s="49" t="s">
        <v>9</v>
      </c>
      <c r="AC21" s="41">
        <v>2</v>
      </c>
      <c r="AD21" s="41">
        <v>2</v>
      </c>
      <c r="AE21" s="41">
        <v>2</v>
      </c>
      <c r="AF21" s="41">
        <v>2</v>
      </c>
      <c r="AG21" s="41">
        <v>1</v>
      </c>
      <c r="AH21" s="41">
        <v>1</v>
      </c>
      <c r="AI21" s="41">
        <v>2</v>
      </c>
      <c r="AJ21" s="41">
        <v>2</v>
      </c>
      <c r="AK21" s="41">
        <v>2</v>
      </c>
      <c r="AL21" s="41">
        <v>2</v>
      </c>
      <c r="AM21" s="41">
        <v>2</v>
      </c>
      <c r="AN21" s="41">
        <v>2</v>
      </c>
      <c r="AO21" s="41">
        <v>2</v>
      </c>
      <c r="AP21" s="41">
        <v>2</v>
      </c>
      <c r="AQ21" s="41">
        <v>1</v>
      </c>
      <c r="AR21" s="41">
        <v>1</v>
      </c>
      <c r="AS21" s="41">
        <v>1</v>
      </c>
      <c r="AT21" s="41">
        <v>1</v>
      </c>
      <c r="AU21" s="41">
        <v>1</v>
      </c>
      <c r="AV21" s="41">
        <v>1</v>
      </c>
      <c r="AW21" s="41">
        <v>1</v>
      </c>
      <c r="AX21" s="41">
        <v>1</v>
      </c>
      <c r="AY21" s="41">
        <v>1</v>
      </c>
      <c r="AZ21" s="41">
        <v>1</v>
      </c>
      <c r="BA21" s="41">
        <v>1</v>
      </c>
      <c r="BB21" s="41">
        <v>1</v>
      </c>
      <c r="BC21" s="41">
        <v>1</v>
      </c>
      <c r="BD21" s="41">
        <v>1</v>
      </c>
      <c r="BE21" s="41">
        <v>1</v>
      </c>
      <c r="BF21" s="41">
        <v>1</v>
      </c>
      <c r="BG21" s="41">
        <v>1</v>
      </c>
      <c r="BH21" s="41">
        <v>1</v>
      </c>
      <c r="BI21" s="41">
        <v>1</v>
      </c>
      <c r="BJ21" s="41">
        <v>1</v>
      </c>
      <c r="BK21" s="49" t="s">
        <v>9</v>
      </c>
      <c r="BL21" s="41">
        <v>1</v>
      </c>
      <c r="BM21" s="41">
        <v>1</v>
      </c>
      <c r="BN21"/>
      <c r="BO21"/>
    </row>
    <row r="22" spans="1:67" ht="16.5" thickBot="1">
      <c r="A22" s="80" t="s">
        <v>37</v>
      </c>
      <c r="B22" s="81" t="s">
        <v>38</v>
      </c>
      <c r="C22" s="61" t="s">
        <v>10</v>
      </c>
      <c r="D22" s="61" t="s">
        <v>10</v>
      </c>
      <c r="E22" s="61" t="s">
        <v>10</v>
      </c>
      <c r="F22" s="30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/>
      <c r="BO22"/>
    </row>
    <row r="23" spans="1:67" ht="15.95">
      <c r="A23" s="80"/>
      <c r="B23" s="81"/>
      <c r="C23" s="62"/>
      <c r="D23" s="62"/>
      <c r="E23" s="62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/>
      <c r="BO23"/>
    </row>
    <row r="24" spans="1:67" ht="15.95">
      <c r="A24" s="18" t="s">
        <v>39</v>
      </c>
      <c r="B24" s="8" t="s">
        <v>40</v>
      </c>
      <c r="C24" s="24">
        <f>IFERROR(COUNTIF($F24:$BO24,1)/(COUNT($F$9:$BO$9)-COUNTIF($F24:$BO24,"X")),"-")</f>
        <v>0.77777777777777779</v>
      </c>
      <c r="D24" s="24">
        <f>IFERROR(COUNTIF($F24:$BO24,2)/(COUNT($F$9:$BO$9)-COUNTIF($F24:$BO24,"X")),"-")</f>
        <v>0.22222222222222221</v>
      </c>
      <c r="E24" s="24">
        <f>IFERROR(COUNTIF($F24:$BO24,3)/(COUNT($F$9:$BO$9)-COUNTIF($F24:$BO24,"X")),"-")</f>
        <v>0</v>
      </c>
      <c r="F24" s="50" t="s">
        <v>9</v>
      </c>
      <c r="G24" s="46" t="s">
        <v>9</v>
      </c>
      <c r="H24" s="46" t="s">
        <v>9</v>
      </c>
      <c r="I24" s="47" t="s">
        <v>9</v>
      </c>
      <c r="J24" s="47" t="s">
        <v>9</v>
      </c>
      <c r="K24" s="47" t="s">
        <v>9</v>
      </c>
      <c r="L24" s="47" t="s">
        <v>9</v>
      </c>
      <c r="M24" s="47" t="s">
        <v>9</v>
      </c>
      <c r="N24" s="47" t="s">
        <v>9</v>
      </c>
      <c r="O24" s="47" t="s">
        <v>9</v>
      </c>
      <c r="P24" s="47" t="s">
        <v>9</v>
      </c>
      <c r="Q24" s="47" t="s">
        <v>9</v>
      </c>
      <c r="R24" s="47" t="s">
        <v>9</v>
      </c>
      <c r="S24" s="47" t="s">
        <v>9</v>
      </c>
      <c r="T24" s="47" t="s">
        <v>9</v>
      </c>
      <c r="U24" s="47" t="s">
        <v>9</v>
      </c>
      <c r="V24" s="47" t="s">
        <v>9</v>
      </c>
      <c r="W24" s="47" t="s">
        <v>9</v>
      </c>
      <c r="X24" s="47" t="s">
        <v>9</v>
      </c>
      <c r="Y24" s="47" t="s">
        <v>9</v>
      </c>
      <c r="Z24" s="47" t="s">
        <v>9</v>
      </c>
      <c r="AA24" s="47" t="s">
        <v>9</v>
      </c>
      <c r="AB24" s="47" t="s">
        <v>9</v>
      </c>
      <c r="AC24" s="47" t="s">
        <v>9</v>
      </c>
      <c r="AD24" s="47" t="s">
        <v>9</v>
      </c>
      <c r="AE24" s="47" t="s">
        <v>9</v>
      </c>
      <c r="AF24" s="47" t="s">
        <v>9</v>
      </c>
      <c r="AG24" s="47" t="s">
        <v>9</v>
      </c>
      <c r="AH24" s="47" t="s">
        <v>9</v>
      </c>
      <c r="AI24" s="47" t="s">
        <v>9</v>
      </c>
      <c r="AJ24" s="47" t="s">
        <v>9</v>
      </c>
      <c r="AK24" s="47" t="s">
        <v>9</v>
      </c>
      <c r="AL24" s="47" t="s">
        <v>9</v>
      </c>
      <c r="AM24" s="47" t="s">
        <v>9</v>
      </c>
      <c r="AN24" s="47" t="s">
        <v>9</v>
      </c>
      <c r="AO24" s="47" t="s">
        <v>9</v>
      </c>
      <c r="AP24" s="47" t="s">
        <v>9</v>
      </c>
      <c r="AQ24" s="47" t="s">
        <v>9</v>
      </c>
      <c r="AR24" s="47" t="s">
        <v>9</v>
      </c>
      <c r="AS24" s="36">
        <v>2</v>
      </c>
      <c r="AT24" s="36">
        <v>2</v>
      </c>
      <c r="AU24" s="36">
        <v>1</v>
      </c>
      <c r="AV24" s="36">
        <v>1</v>
      </c>
      <c r="AW24" s="36">
        <v>1</v>
      </c>
      <c r="AX24" s="36">
        <v>1</v>
      </c>
      <c r="AY24" s="36">
        <v>1</v>
      </c>
      <c r="AZ24" s="36">
        <v>1</v>
      </c>
      <c r="BA24" s="36">
        <v>1</v>
      </c>
      <c r="BB24" s="47" t="s">
        <v>9</v>
      </c>
      <c r="BC24" s="47" t="s">
        <v>9</v>
      </c>
      <c r="BD24" s="47" t="s">
        <v>9</v>
      </c>
      <c r="BE24" s="47" t="s">
        <v>9</v>
      </c>
      <c r="BF24" s="47" t="s">
        <v>9</v>
      </c>
      <c r="BG24" s="47" t="s">
        <v>9</v>
      </c>
      <c r="BH24" s="47" t="s">
        <v>9</v>
      </c>
      <c r="BI24" s="47" t="s">
        <v>9</v>
      </c>
      <c r="BJ24" s="47" t="s">
        <v>9</v>
      </c>
      <c r="BK24" s="47" t="s">
        <v>9</v>
      </c>
      <c r="BL24" s="47" t="s">
        <v>9</v>
      </c>
      <c r="BM24" s="47" t="s">
        <v>9</v>
      </c>
      <c r="BN24"/>
      <c r="BO24"/>
    </row>
    <row r="25" spans="1:67" ht="15.95">
      <c r="A25" s="19" t="s">
        <v>41</v>
      </c>
      <c r="B25" s="20" t="s">
        <v>42</v>
      </c>
      <c r="C25" s="34">
        <f>IFERROR(COUNTIF($F25:$BO25,1)/(COUNT(F9:BO9)-COUNTIF($F25:$BO25,"X")),"-")</f>
        <v>0.45454545454545453</v>
      </c>
      <c r="D25" s="34">
        <f>IFERROR(COUNTIF($F25:$BO25,2)/(COUNT(F9:BO9)-COUNTIF($F25:$BO25,"X")),"-")</f>
        <v>0.54545454545454541</v>
      </c>
      <c r="E25" s="34">
        <f>IFERROR(COUNTIF($F25:$BO25,3)/(COUNT(F9:BO9)-COUNTIF($F25:$BO25,"X")),"-")</f>
        <v>0</v>
      </c>
      <c r="F25" s="51" t="s">
        <v>9</v>
      </c>
      <c r="G25" s="44" t="s">
        <v>9</v>
      </c>
      <c r="H25" s="44" t="s">
        <v>9</v>
      </c>
      <c r="I25" s="45" t="s">
        <v>9</v>
      </c>
      <c r="J25" s="45" t="s">
        <v>9</v>
      </c>
      <c r="K25" s="45" t="s">
        <v>9</v>
      </c>
      <c r="L25" s="4">
        <v>2</v>
      </c>
      <c r="M25" s="4">
        <v>2</v>
      </c>
      <c r="N25" s="45" t="s">
        <v>9</v>
      </c>
      <c r="O25" s="45" t="s">
        <v>9</v>
      </c>
      <c r="P25" s="45" t="s">
        <v>9</v>
      </c>
      <c r="Q25" s="45" t="s">
        <v>9</v>
      </c>
      <c r="R25" s="4">
        <v>1</v>
      </c>
      <c r="S25" s="4">
        <v>1</v>
      </c>
      <c r="T25" s="45" t="s">
        <v>9</v>
      </c>
      <c r="U25" s="45" t="s">
        <v>9</v>
      </c>
      <c r="V25" s="45" t="s">
        <v>9</v>
      </c>
      <c r="W25" s="45" t="s">
        <v>9</v>
      </c>
      <c r="X25" s="45" t="s">
        <v>9</v>
      </c>
      <c r="Y25" s="45" t="s">
        <v>9</v>
      </c>
      <c r="Z25" s="45" t="s">
        <v>9</v>
      </c>
      <c r="AA25" s="45" t="s">
        <v>9</v>
      </c>
      <c r="AB25" s="45" t="s">
        <v>9</v>
      </c>
      <c r="AC25" s="45" t="s">
        <v>9</v>
      </c>
      <c r="AD25" s="45" t="s">
        <v>9</v>
      </c>
      <c r="AE25" s="45" t="s">
        <v>9</v>
      </c>
      <c r="AF25" s="45" t="s">
        <v>9</v>
      </c>
      <c r="AG25" s="45" t="s">
        <v>9</v>
      </c>
      <c r="AH25" s="45" t="s">
        <v>9</v>
      </c>
      <c r="AI25" s="45" t="s">
        <v>9</v>
      </c>
      <c r="AJ25" s="4">
        <v>1</v>
      </c>
      <c r="AK25" s="4">
        <v>1</v>
      </c>
      <c r="AL25" s="45" t="s">
        <v>9</v>
      </c>
      <c r="AM25" s="45" t="s">
        <v>9</v>
      </c>
      <c r="AN25" s="45" t="s">
        <v>9</v>
      </c>
      <c r="AO25" s="45" t="s">
        <v>9</v>
      </c>
      <c r="AP25" s="45" t="s">
        <v>9</v>
      </c>
      <c r="AQ25" s="45" t="s">
        <v>9</v>
      </c>
      <c r="AR25" s="45" t="s">
        <v>9</v>
      </c>
      <c r="AS25" s="4">
        <v>2</v>
      </c>
      <c r="AT25" s="4">
        <v>2</v>
      </c>
      <c r="AU25" s="45" t="s">
        <v>9</v>
      </c>
      <c r="AV25" s="45" t="s">
        <v>9</v>
      </c>
      <c r="AW25" s="45" t="s">
        <v>9</v>
      </c>
      <c r="AX25" s="45" t="s">
        <v>9</v>
      </c>
      <c r="AY25" s="45" t="s">
        <v>9</v>
      </c>
      <c r="AZ25" s="45" t="s">
        <v>9</v>
      </c>
      <c r="BA25" s="45" t="s">
        <v>9</v>
      </c>
      <c r="BB25" s="4">
        <v>2</v>
      </c>
      <c r="BC25" s="4">
        <v>2</v>
      </c>
      <c r="BD25" s="45" t="s">
        <v>9</v>
      </c>
      <c r="BE25" s="45" t="s">
        <v>9</v>
      </c>
      <c r="BF25" s="45" t="s">
        <v>9</v>
      </c>
      <c r="BG25" s="45" t="s">
        <v>9</v>
      </c>
      <c r="BH25" s="45" t="s">
        <v>9</v>
      </c>
      <c r="BI25" s="45" t="s">
        <v>9</v>
      </c>
      <c r="BJ25" s="45" t="s">
        <v>9</v>
      </c>
      <c r="BK25" s="45" t="s">
        <v>9</v>
      </c>
      <c r="BL25" s="45" t="s">
        <v>9</v>
      </c>
      <c r="BM25" s="4">
        <v>1</v>
      </c>
      <c r="BN25"/>
      <c r="BO25"/>
    </row>
    <row r="26" spans="1:67" ht="30" customHeight="1">
      <c r="A26" s="7">
        <v>1</v>
      </c>
      <c r="B26" s="15" t="s">
        <v>43</v>
      </c>
      <c r="C26" s="21">
        <f>COUNTIF($F$10:$BO$25,1)/COUNTIFS($F$10:$BO$25,"&lt;&gt;X",$F$10:$BO$25,"&lt;&gt;")</f>
        <v>0.657258064516129</v>
      </c>
      <c r="D26" s="21">
        <f>COUNTIF($F$10:$BO$25,2)/COUNTIFS($F$10:$BO$25,"&lt;&gt;X",$F$10:$BO$25,"&lt;&gt;")</f>
        <v>0.19758064516129031</v>
      </c>
      <c r="E26" s="21">
        <f>COUNTIF($F$10:$BO$25,3)/COUNTIFS($F$10:$BO$25,"&lt;&gt;X",$F$10:$BO$25,"&lt;&gt;")</f>
        <v>0.14516129032258066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/>
      <c r="BO26"/>
    </row>
    <row r="27" spans="1:67" ht="15.95">
      <c r="C27" s="35"/>
    </row>
  </sheetData>
  <sheetProtection sheet="1" objects="1" scenarios="1"/>
  <mergeCells count="40">
    <mergeCell ref="A22:A23"/>
    <mergeCell ref="B22:B23"/>
    <mergeCell ref="C22:C23"/>
    <mergeCell ref="D22:D23"/>
    <mergeCell ref="E22:E23"/>
    <mergeCell ref="A19:A20"/>
    <mergeCell ref="B19:B20"/>
    <mergeCell ref="C19:C20"/>
    <mergeCell ref="D19:D20"/>
    <mergeCell ref="E19:E20"/>
    <mergeCell ref="A5:BO5"/>
    <mergeCell ref="BD2:BO2"/>
    <mergeCell ref="BD3:BI3"/>
    <mergeCell ref="BJ3:BO3"/>
    <mergeCell ref="BD4:BI4"/>
    <mergeCell ref="BJ4:BO4"/>
    <mergeCell ref="A1:B4"/>
    <mergeCell ref="C2:BC4"/>
    <mergeCell ref="BD1:BO1"/>
    <mergeCell ref="C1:BC1"/>
    <mergeCell ref="BF6:BO6"/>
    <mergeCell ref="AV6:BE6"/>
    <mergeCell ref="Z6:AI6"/>
    <mergeCell ref="N6:W6"/>
    <mergeCell ref="D6:K6"/>
    <mergeCell ref="L6:M6"/>
    <mergeCell ref="X6:Y6"/>
    <mergeCell ref="AJ6:AK6"/>
    <mergeCell ref="AL6:AU6"/>
    <mergeCell ref="A6:B6"/>
    <mergeCell ref="A12:A13"/>
    <mergeCell ref="B12:B13"/>
    <mergeCell ref="C12:C13"/>
    <mergeCell ref="D12:D13"/>
    <mergeCell ref="E12:E13"/>
    <mergeCell ref="A15:A16"/>
    <mergeCell ref="B15:B16"/>
    <mergeCell ref="C15:C16"/>
    <mergeCell ref="D15:D16"/>
    <mergeCell ref="E15:E16"/>
  </mergeCells>
  <conditionalFormatting sqref="F10:BM11 F14:BM14 F17:BM18 F21:BM21 F24:BM25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  <cfRule type="cellIs" dxfId="0" priority="4" operator="equal">
      <formula>"X"</formula>
    </cfRule>
  </conditionalFormatting>
  <dataValidations count="1">
    <dataValidation type="list" allowBlank="1" showDropDown="1" showInputMessage="1" showErrorMessage="1" sqref="F21:BM21 F10:BM11 F14:BM14 F17:BM18 F24:BM25" xr:uid="{3505EAC9-A200-4481-B3E3-7C7EA21AACF3}">
      <formula1>"1,2,3,X"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48" orientation="landscape" r:id="rId1"/>
  <colBreaks count="4" manualBreakCount="4">
    <brk id="67" max="1048575" man="1"/>
    <brk id="145" max="73" man="1"/>
    <brk id="223" max="73" man="1"/>
    <brk id="301" max="7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EF35888E1FF74284B339DE3F4B26C3" ma:contentTypeVersion="17" ma:contentTypeDescription="Crie um novo documento." ma:contentTypeScope="" ma:versionID="840cc03e5827897c350ccaa125bcf1cc">
  <xsd:schema xmlns:xsd="http://www.w3.org/2001/XMLSchema" xmlns:xs="http://www.w3.org/2001/XMLSchema" xmlns:p="http://schemas.microsoft.com/office/2006/metadata/properties" xmlns:ns2="8be7fe98-54bb-4983-be9e-dca3ad45b39c" xmlns:ns3="947ddd7a-1f74-4683-933a-6c42b949352a" targetNamespace="http://schemas.microsoft.com/office/2006/metadata/properties" ma:root="true" ma:fieldsID="d9a9239a4ea98dbe0f1c53c1955437e2" ns2:_="" ns3:_="">
    <xsd:import namespace="8be7fe98-54bb-4983-be9e-dca3ad45b39c"/>
    <xsd:import namespace="947ddd7a-1f74-4683-933a-6c42b9493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7fe98-54bb-4983-be9e-dca3ad45b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15e6d-dc85-4b59-a090-70919157f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ddd7a-1f74-4683-933a-6c42b94935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6e1266-1ac5-4c5d-a992-a5e1bf3147db}" ma:internalName="TaxCatchAll" ma:showField="CatchAllData" ma:web="947ddd7a-1f74-4683-933a-6c42b9493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7fe98-54bb-4983-be9e-dca3ad45b39c">
      <Terms xmlns="http://schemas.microsoft.com/office/infopath/2007/PartnerControls"/>
    </lcf76f155ced4ddcb4097134ff3c332f>
    <_Flow_SignoffStatus xmlns="8be7fe98-54bb-4983-be9e-dca3ad45b39c" xsi:nil="true"/>
    <TaxCatchAll xmlns="947ddd7a-1f74-4683-933a-6c42b949352a" xsi:nil="true"/>
  </documentManagement>
</p:properties>
</file>

<file path=customXml/itemProps1.xml><?xml version="1.0" encoding="utf-8"?>
<ds:datastoreItem xmlns:ds="http://schemas.openxmlformats.org/officeDocument/2006/customXml" ds:itemID="{CD9F8036-66D0-4DF4-9EB9-5BBD49CAE45A}"/>
</file>

<file path=customXml/itemProps2.xml><?xml version="1.0" encoding="utf-8"?>
<ds:datastoreItem xmlns:ds="http://schemas.openxmlformats.org/officeDocument/2006/customXml" ds:itemID="{A8804B96-CD68-4D7D-AB84-9E22BAB7FE93}"/>
</file>

<file path=customXml/itemProps3.xml><?xml version="1.0" encoding="utf-8"?>
<ds:datastoreItem xmlns:ds="http://schemas.openxmlformats.org/officeDocument/2006/customXml" ds:itemID="{8A6E6B75-2567-4338-8FDD-F78B19B9B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Terada Senaris</dc:creator>
  <cp:keywords/>
  <dc:description/>
  <cp:lastModifiedBy>Ana Flavia Camargo Borges</cp:lastModifiedBy>
  <cp:revision/>
  <dcterms:created xsi:type="dcterms:W3CDTF">2024-11-22T12:49:54Z</dcterms:created>
  <dcterms:modified xsi:type="dcterms:W3CDTF">2026-04-09T20:23:21Z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2024-11-22T20:15:33Z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40da68ea-646d-4205-bedc-6312648fac9a</vt:lpwstr>
  </property>
  <property fmtid="{D5CDD505-2E9C-101B-9397-08002B2CF9AE}" pid="8" name="MSIP_Label_b45910b6-60c5-46ad-bb86-335627448cd2_ContentBits">
    <vt:lpwstr>0</vt:lpwstr>
  </property>
  <property fmtid="{D5CDD505-2E9C-101B-9397-08002B2CF9AE}" pid="9" name="ContentTypeId">
    <vt:lpwstr>0x010100EDEF35888E1FF74284B339DE3F4B26C3</vt:lpwstr>
  </property>
  <property fmtid="{D5CDD505-2E9C-101B-9397-08002B2CF9AE}" pid="10" name="MediaServiceImageTags">
    <vt:lpwstr/>
  </property>
</Properties>
</file>